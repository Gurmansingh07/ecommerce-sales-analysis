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 Analysis" sheetId="2" state="visible" r:id="rId2"/>
    <sheet xmlns:r="http://schemas.openxmlformats.org/officeDocument/2006/relationships" name="Category &amp; Segment" sheetId="3" state="visible" r:id="rId3"/>
    <sheet xmlns:r="http://schemas.openxmlformats.org/officeDocument/2006/relationships" name="Geographic Distribution" sheetId="4" state="visible" r:id="rId4"/>
    <sheet xmlns:r="http://schemas.openxmlformats.org/officeDocument/2006/relationships" name="Raw Pivot Data" sheetId="5" state="visible" r:id="rId5"/>
    <sheet xmlns:r="http://schemas.openxmlformats.org/officeDocument/2006/relationships" name="Profit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9"/>
    </font>
    <font>
      <name val="Arial"/>
      <b val="1"/>
      <color rgb="00FFFFFF"/>
      <sz val="16"/>
    </font>
    <font>
      <name val="Arial"/>
      <i val="1"/>
      <color rgb="00FFFFFF"/>
      <sz val="8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1E2A3A"/>
      <sz val="10"/>
    </font>
    <font>
      <name val="Arial"/>
      <i val="1"/>
      <color rgb="00FFFFFF"/>
      <sz val="10"/>
    </font>
    <font>
      <name val="Arial"/>
      <b val="1"/>
      <color rgb="00FFFFFF"/>
      <sz val="14"/>
    </font>
    <font>
      <name val="Arial"/>
      <b val="1"/>
      <color rgb="00FFFFFF"/>
      <sz val="20"/>
    </font>
  </fonts>
  <fills count="10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2E75B6"/>
      </patternFill>
    </fill>
    <fill>
      <patternFill patternType="solid">
        <fgColor rgb="0000B0A0"/>
      </patternFill>
    </fill>
    <fill>
      <patternFill patternType="solid">
        <fgColor rgb="00E87722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3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165" fontId="3" fillId="7" borderId="0" applyAlignment="1" pivotButton="0" quotePrefix="0" xfId="0">
      <alignment horizontal="center" vertical="center" wrapText="1"/>
    </xf>
    <xf numFmtId="165" fontId="3" fillId="5" borderId="0" applyAlignment="1" pivotButton="0" quotePrefix="0" xfId="0">
      <alignment horizontal="center" vertical="center" wrapText="1"/>
    </xf>
    <xf numFmtId="164" fontId="3" fillId="4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165" fontId="6" fillId="2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Orders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Analysis'!C5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'Monthly Analysis'!$B$6:$B$17</f>
            </numRef>
          </cat>
          <val>
            <numRef>
              <f>'Monthly Analysis'!$C$6:$C$17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&amp; Segment'!C5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&amp; Segment'!$B$6:$B$8</f>
            </numRef>
          </cat>
          <val>
            <numRef>
              <f>'Category &amp; Segment'!$C$6:$C$8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Customer Segment</a:t>
            </a:r>
          </a:p>
        </rich>
      </tx>
    </title>
    <plotArea>
      <pieChart>
        <varyColors val="1"/>
        <ser>
          <idx val="0"/>
          <order val="0"/>
          <tx>
            <strRef>
              <f>'Category &amp; Segment'!C27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&amp; Segment'!$B$28:$B$30</f>
            </numRef>
          </cat>
          <val>
            <numRef>
              <f>'Category &amp; Segment'!$C$28:$C$30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States – Order Volume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'Geographic Distribution'!C5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'Geographic Distribution'!$B$6:$B$15</f>
            </numRef>
          </cat>
          <val>
            <numRef>
              <f>'Geographic Distribution'!$C$6:$C$15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'Profit Analysis'!D27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prstDash val="solid"/>
            </a:ln>
          </spPr>
          <cat>
            <numRef>
              <f>'Profit Analysis'!$B$28:$B$39</f>
            </numRef>
          </cat>
          <val>
            <numRef>
              <f>'Profit Analysis'!$D$28:$D$39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'Profit Analysis'!D11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'Profit Analysis'!$B$12:$B$14</f>
            </numRef>
          </cat>
          <val>
            <numRef>
              <f>'Profit Analysis'!$D$12:$D$14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19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10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32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21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25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41</row>
      <rowOff>0</rowOff>
    </from>
    <ext cx="50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M5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2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  <col width="2" customWidth="1" min="13" max="13"/>
  </cols>
  <sheetData>
    <row r="1" ht="18" customHeight="1">
      <c r="A1" s="1" t="inlineStr">
        <is>
          <t>E-COMMERCE SALES PERFORMANCE DASHBOARD</t>
        </is>
      </c>
    </row>
    <row r="2" ht="18" customHeight="1"/>
    <row r="3" ht="18" customHeight="1"/>
    <row r="4" ht="18" customHeight="1"/>
    <row r="5" ht="18" customHeight="1">
      <c r="B5" s="2" t="inlineStr">
        <is>
          <t>Total Orders</t>
        </is>
      </c>
      <c r="D5" s="3" t="inlineStr">
        <is>
          <t>Top Category</t>
        </is>
      </c>
      <c r="F5" s="4" t="inlineStr">
        <is>
          <t>Peak Month</t>
        </is>
      </c>
      <c r="H5" s="5" t="inlineStr">
        <is>
          <t>Top State</t>
        </is>
      </c>
      <c r="J5" s="6" t="inlineStr">
        <is>
          <t>Top Segment</t>
        </is>
      </c>
    </row>
    <row r="6" ht="18" customHeight="1">
      <c r="B6" s="7" t="n">
        <v>9994</v>
      </c>
      <c r="D6" s="8" t="inlineStr">
        <is>
          <t>Office Supplies</t>
        </is>
      </c>
      <c r="F6" s="9" t="inlineStr">
        <is>
          <t>September</t>
        </is>
      </c>
      <c r="H6" s="10" t="inlineStr">
        <is>
          <t>California</t>
        </is>
      </c>
      <c r="J6" s="11" t="inlineStr">
        <is>
          <t>Consumer</t>
        </is>
      </c>
    </row>
    <row r="7" ht="18" customHeight="1">
      <c r="B7" s="12" t="n"/>
      <c r="D7" s="13" t="n"/>
      <c r="F7" s="14" t="n"/>
      <c r="H7" s="15" t="n"/>
      <c r="J7" s="16" t="n"/>
    </row>
    <row r="8" ht="18" customHeight="1">
      <c r="B8" s="17" t="inlineStr">
        <is>
          <t>All time</t>
        </is>
      </c>
      <c r="D8" s="18" t="inlineStr">
        <is>
          <t>6,026 orders</t>
        </is>
      </c>
      <c r="F8" s="19" t="inlineStr">
        <is>
          <t>1,462 orders</t>
        </is>
      </c>
      <c r="H8" s="20" t="inlineStr">
        <is>
          <t>2,001 orders</t>
        </is>
      </c>
      <c r="J8" s="21" t="inlineStr">
        <is>
          <t>5,191 orders</t>
        </is>
      </c>
    </row>
    <row r="9" ht="18" customHeight="1"/>
    <row r="10" ht="18" customHeight="1">
      <c r="B10" s="22" t="inlineStr">
        <is>
          <t>Monthly Orders Volume</t>
        </is>
      </c>
      <c r="H10" s="23" t="inlineStr">
        <is>
          <t>Sales by Category</t>
        </is>
      </c>
    </row>
    <row r="11" ht="18" customHeight="1">
      <c r="B11" s="24" t="inlineStr">
        <is>
          <t>Month</t>
        </is>
      </c>
      <c r="C11" s="24" t="inlineStr">
        <is>
          <t>Orders</t>
        </is>
      </c>
      <c r="D11" s="24" t="inlineStr">
        <is>
          <t>% Share</t>
        </is>
      </c>
      <c r="E11" s="24" t="inlineStr">
        <is>
          <t>Rank</t>
        </is>
      </c>
      <c r="H11" s="24" t="inlineStr">
        <is>
          <t>Category</t>
        </is>
      </c>
      <c r="I11" s="24" t="inlineStr">
        <is>
          <t>Orders</t>
        </is>
      </c>
      <c r="J11" s="24" t="inlineStr">
        <is>
          <t>% Share</t>
        </is>
      </c>
      <c r="K11" s="24" t="inlineStr">
        <is>
          <t>Rank</t>
        </is>
      </c>
    </row>
    <row r="12" ht="18" customHeight="1">
      <c r="B12" s="25" t="inlineStr">
        <is>
          <t>Jan</t>
        </is>
      </c>
      <c r="C12" s="26" t="n">
        <v>387</v>
      </c>
      <c r="D12" s="27" t="n">
        <v>0.03872323394036422</v>
      </c>
      <c r="E12" s="25" t="n">
        <v>11</v>
      </c>
      <c r="H12" s="25" t="inlineStr">
        <is>
          <t>Furniture</t>
        </is>
      </c>
      <c r="I12" s="26" t="n">
        <v>2121</v>
      </c>
      <c r="J12" s="27" t="n">
        <v>0.2122273364018411</v>
      </c>
      <c r="K12" s="25" t="n">
        <v>1</v>
      </c>
    </row>
    <row r="13" ht="18" customHeight="1">
      <c r="B13" s="28" t="inlineStr">
        <is>
          <t>Feb</t>
        </is>
      </c>
      <c r="C13" s="29" t="n">
        <v>301</v>
      </c>
      <c r="D13" s="30" t="n">
        <v>0.0301180708425055</v>
      </c>
      <c r="E13" s="28" t="n">
        <v>12</v>
      </c>
      <c r="H13" s="28" t="inlineStr">
        <is>
          <t>Office Supplies</t>
        </is>
      </c>
      <c r="I13" s="29" t="n">
        <v>6026</v>
      </c>
      <c r="J13" s="30" t="n">
        <v>0.6029617770662398</v>
      </c>
      <c r="K13" s="28" t="n">
        <v>2</v>
      </c>
    </row>
    <row r="14" ht="18" customHeight="1">
      <c r="B14" s="25" t="inlineStr">
        <is>
          <t>Mar</t>
        </is>
      </c>
      <c r="C14" s="26" t="n">
        <v>680</v>
      </c>
      <c r="D14" s="27" t="n">
        <v>0.06804082449469682</v>
      </c>
      <c r="E14" s="25" t="n">
        <v>9</v>
      </c>
      <c r="H14" s="25" t="inlineStr">
        <is>
          <t>Technology</t>
        </is>
      </c>
      <c r="I14" s="26" t="n">
        <v>1847</v>
      </c>
      <c r="J14" s="27" t="n">
        <v>0.1848108865319192</v>
      </c>
      <c r="K14" s="25" t="n">
        <v>3</v>
      </c>
    </row>
    <row r="15" ht="18" customHeight="1">
      <c r="B15" s="28" t="inlineStr">
        <is>
          <t>Apr</t>
        </is>
      </c>
      <c r="C15" s="29" t="n">
        <v>663</v>
      </c>
      <c r="D15" s="30" t="n">
        <v>0.06633980388232939</v>
      </c>
      <c r="E15" s="28" t="n">
        <v>10</v>
      </c>
      <c r="H15" s="24" t="inlineStr">
        <is>
          <t>TOTAL</t>
        </is>
      </c>
      <c r="I15" s="24" t="n">
        <v>9994</v>
      </c>
      <c r="J15" s="31" t="n">
        <v>1</v>
      </c>
      <c r="K15" s="24" t="inlineStr">
        <is>
          <t>-</t>
        </is>
      </c>
    </row>
    <row r="16" ht="18" customHeight="1">
      <c r="B16" s="25" t="inlineStr">
        <is>
          <t>May</t>
        </is>
      </c>
      <c r="C16" s="26" t="n">
        <v>750</v>
      </c>
      <c r="D16" s="27" t="n">
        <v>0.07504502701620973</v>
      </c>
      <c r="E16" s="25" t="n">
        <v>5</v>
      </c>
    </row>
    <row r="17" ht="18" customHeight="1">
      <c r="B17" s="28" t="inlineStr">
        <is>
          <t>Jun</t>
        </is>
      </c>
      <c r="C17" s="29" t="n">
        <v>709</v>
      </c>
      <c r="D17" s="30" t="n">
        <v>0.0709425655393236</v>
      </c>
      <c r="E17" s="28" t="n">
        <v>7</v>
      </c>
      <c r="H17" s="32" t="inlineStr">
        <is>
          <t>Top 5 Sub-Categories</t>
        </is>
      </c>
    </row>
    <row r="18" ht="18" customHeight="1">
      <c r="B18" s="25" t="inlineStr">
        <is>
          <t>Jul</t>
        </is>
      </c>
      <c r="C18" s="26" t="n">
        <v>708</v>
      </c>
      <c r="D18" s="27" t="n">
        <v>0.07084250550330198</v>
      </c>
      <c r="E18" s="25" t="n">
        <v>8</v>
      </c>
      <c r="H18" s="24" t="inlineStr">
        <is>
          <t>Sub-Category</t>
        </is>
      </c>
      <c r="I18" s="24" t="inlineStr">
        <is>
          <t>Orders</t>
        </is>
      </c>
      <c r="J18" s="24" t="inlineStr">
        <is>
          <t>% of Top5</t>
        </is>
      </c>
      <c r="K18" s="24" t="inlineStr">
        <is>
          <t>Rank</t>
        </is>
      </c>
    </row>
    <row r="19" ht="18" customHeight="1">
      <c r="B19" s="28" t="inlineStr">
        <is>
          <t>Aug</t>
        </is>
      </c>
      <c r="C19" s="29" t="n">
        <v>710</v>
      </c>
      <c r="D19" s="30" t="n">
        <v>0.07104262557534521</v>
      </c>
      <c r="E19" s="28" t="n">
        <v>6</v>
      </c>
      <c r="H19" s="25" t="inlineStr">
        <is>
          <t>Binders</t>
        </is>
      </c>
      <c r="I19" s="26" t="n">
        <v>1523</v>
      </c>
      <c r="J19" s="27" t="n">
        <v>0.2726947179946285</v>
      </c>
      <c r="K19" s="25" t="n">
        <v>1</v>
      </c>
    </row>
    <row r="20" ht="18" customHeight="1">
      <c r="B20" s="25" t="inlineStr">
        <is>
          <t>Sep</t>
        </is>
      </c>
      <c r="C20" s="26" t="n">
        <v>1386</v>
      </c>
      <c r="D20" s="27" t="n">
        <v>0.1386832099259556</v>
      </c>
      <c r="E20" s="25" t="n">
        <v>3</v>
      </c>
      <c r="H20" s="28" t="inlineStr">
        <is>
          <t>Furnishings</t>
        </is>
      </c>
      <c r="I20" s="29" t="n">
        <v>957</v>
      </c>
      <c r="J20" s="30" t="n">
        <v>0.1713518352730528</v>
      </c>
      <c r="K20" s="28" t="n">
        <v>2</v>
      </c>
    </row>
    <row r="21" ht="18" customHeight="1">
      <c r="B21" s="28" t="inlineStr">
        <is>
          <t>Oct</t>
        </is>
      </c>
      <c r="C21" s="29" t="n">
        <v>817</v>
      </c>
      <c r="D21" s="30" t="n">
        <v>0.0817490494296578</v>
      </c>
      <c r="E21" s="28" t="n">
        <v>4</v>
      </c>
      <c r="H21" s="25" t="inlineStr">
        <is>
          <t>Paper</t>
        </is>
      </c>
      <c r="I21" s="26" t="n">
        <v>1370</v>
      </c>
      <c r="J21" s="27" t="n">
        <v>0.2452999104744852</v>
      </c>
      <c r="K21" s="25" t="n">
        <v>3</v>
      </c>
    </row>
    <row r="22" ht="18" customHeight="1">
      <c r="B22" s="25" t="inlineStr">
        <is>
          <t>Nov</t>
        </is>
      </c>
      <c r="C22" s="26" t="n">
        <v>1462</v>
      </c>
      <c r="D22" s="27" t="n">
        <v>0.1462877726635982</v>
      </c>
      <c r="E22" s="25" t="n">
        <v>1</v>
      </c>
      <c r="H22" s="28" t="inlineStr">
        <is>
          <t>Phones</t>
        </is>
      </c>
      <c r="I22" s="29" t="n">
        <v>889</v>
      </c>
      <c r="J22" s="30" t="n">
        <v>0.1591763652641003</v>
      </c>
      <c r="K22" s="28" t="n">
        <v>4</v>
      </c>
    </row>
    <row r="23" ht="18" customHeight="1">
      <c r="B23" s="28" t="inlineStr">
        <is>
          <t>Dec</t>
        </is>
      </c>
      <c r="C23" s="29" t="n">
        <v>1421</v>
      </c>
      <c r="D23" s="30" t="n">
        <v>0.142185311186712</v>
      </c>
      <c r="E23" s="28" t="n">
        <v>2</v>
      </c>
      <c r="H23" s="25" t="inlineStr">
        <is>
          <t>Storage</t>
        </is>
      </c>
      <c r="I23" s="26" t="n">
        <v>846</v>
      </c>
      <c r="J23" s="27" t="n">
        <v>0.1514771709937332</v>
      </c>
      <c r="K23" s="25" t="n">
        <v>5</v>
      </c>
    </row>
    <row r="24" ht="18" customHeight="1">
      <c r="B24" s="24" t="inlineStr">
        <is>
          <t>TOTAL</t>
        </is>
      </c>
      <c r="C24" s="24" t="n">
        <v>9994</v>
      </c>
      <c r="D24" s="31" t="n">
        <v>1</v>
      </c>
      <c r="E24" s="24" t="inlineStr">
        <is>
          <t>-</t>
        </is>
      </c>
    </row>
    <row r="25" ht="18" customHeight="1">
      <c r="H25" s="33" t="inlineStr">
        <is>
          <t>Customer Segments</t>
        </is>
      </c>
    </row>
    <row r="26" ht="18" customHeight="1">
      <c r="H26" s="24" t="inlineStr">
        <is>
          <t>Segment</t>
        </is>
      </c>
      <c r="I26" s="24" t="inlineStr">
        <is>
          <t>Orders</t>
        </is>
      </c>
      <c r="J26" s="24" t="inlineStr">
        <is>
          <t>% Share</t>
        </is>
      </c>
      <c r="K26" s="24" t="inlineStr">
        <is>
          <t>Rank</t>
        </is>
      </c>
    </row>
    <row r="27" ht="18" customHeight="1">
      <c r="H27" s="25" t="inlineStr">
        <is>
          <t>Consumer</t>
        </is>
      </c>
      <c r="I27" s="26" t="n">
        <v>5191</v>
      </c>
      <c r="J27" s="27" t="n">
        <v>0.5194116469881929</v>
      </c>
      <c r="K27" s="25" t="n">
        <v>1</v>
      </c>
    </row>
    <row r="28" ht="18" customHeight="1">
      <c r="H28" s="28" t="inlineStr">
        <is>
          <t>Corporate</t>
        </is>
      </c>
      <c r="I28" s="29" t="n">
        <v>3020</v>
      </c>
      <c r="J28" s="30" t="n">
        <v>0.3021813087852712</v>
      </c>
      <c r="K28" s="28" t="n">
        <v>2</v>
      </c>
    </row>
    <row r="29" ht="18" customHeight="1">
      <c r="H29" s="25" t="inlineStr">
        <is>
          <t>Home Office</t>
        </is>
      </c>
      <c r="I29" s="26" t="n">
        <v>1783</v>
      </c>
      <c r="J29" s="27" t="n">
        <v>0.1784070442265359</v>
      </c>
      <c r="K29" s="25" t="n">
        <v>3</v>
      </c>
    </row>
    <row r="30" ht="18" customHeight="1">
      <c r="B30" s="6" t="inlineStr">
        <is>
          <t>Total Profit</t>
        </is>
      </c>
      <c r="E30" s="4" t="inlineStr">
        <is>
          <t>Total Sales</t>
        </is>
      </c>
      <c r="H30" s="3" t="inlineStr">
        <is>
          <t>Profit Margin</t>
        </is>
      </c>
    </row>
    <row r="31" ht="18" customHeight="1">
      <c r="B31" s="41" t="n">
        <v>286397.02</v>
      </c>
      <c r="E31" s="42" t="n">
        <v>2297200.86</v>
      </c>
      <c r="H31" s="43" t="n">
        <v>0.1247</v>
      </c>
    </row>
    <row r="32" ht="18" customHeight="1">
      <c r="B32" s="16" t="n"/>
      <c r="E32" s="14" t="n"/>
      <c r="H32" s="13" t="n"/>
    </row>
    <row r="33" ht="18" customHeight="1">
      <c r="B33" s="21" t="inlineStr">
        <is>
          <t>All-time net profit</t>
        </is>
      </c>
      <c r="E33" s="19" t="inlineStr">
        <is>
          <t>Total revenue</t>
        </is>
      </c>
      <c r="H33" s="18" t="inlineStr">
        <is>
          <t>Net profit / Sales</t>
        </is>
      </c>
    </row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>
      <c r="A53" s="34" t="inlineStr">
        <is>
          <t>E-Commerce Sales Dashboard  |  Source: excel_project_2.xlsx  |  Built per Project_1.docx</t>
        </is>
      </c>
    </row>
    <row r="54" ht="18" customHeight="1"/>
  </sheetData>
  <mergeCells count="38">
    <mergeCell ref="B7:C7"/>
    <mergeCell ref="J5:K5"/>
    <mergeCell ref="E31:G31"/>
    <mergeCell ref="H10:L10"/>
    <mergeCell ref="F6:G6"/>
    <mergeCell ref="A53:M53"/>
    <mergeCell ref="E30:G30"/>
    <mergeCell ref="F7:G7"/>
    <mergeCell ref="D6:E6"/>
    <mergeCell ref="H32:J32"/>
    <mergeCell ref="H6:I6"/>
    <mergeCell ref="H25:L25"/>
    <mergeCell ref="J6:K6"/>
    <mergeCell ref="F5:G5"/>
    <mergeCell ref="B30:D30"/>
    <mergeCell ref="B8:C8"/>
    <mergeCell ref="F8:G8"/>
    <mergeCell ref="B33:D33"/>
    <mergeCell ref="E32:G32"/>
    <mergeCell ref="H33:J33"/>
    <mergeCell ref="H17:L17"/>
    <mergeCell ref="D7:E7"/>
    <mergeCell ref="A1:M3"/>
    <mergeCell ref="H7:I7"/>
    <mergeCell ref="B10:F10"/>
    <mergeCell ref="J7:K7"/>
    <mergeCell ref="B32:D32"/>
    <mergeCell ref="H30:J30"/>
    <mergeCell ref="D8:E8"/>
    <mergeCell ref="B6:C6"/>
    <mergeCell ref="E33:G33"/>
    <mergeCell ref="B31:D31"/>
    <mergeCell ref="B5:C5"/>
    <mergeCell ref="D5:E5"/>
    <mergeCell ref="H31:J31"/>
    <mergeCell ref="H5:I5"/>
    <mergeCell ref="H8:I8"/>
    <mergeCell ref="J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A0"/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5" t="inlineStr">
        <is>
          <t>Monthly Orders Volume Analysis</t>
        </is>
      </c>
    </row>
    <row r="2"/>
    <row r="3">
      <c r="A3" s="36" t="inlineStr">
        <is>
          <t>Seasonality breakdown – Orders by month across all years</t>
        </is>
      </c>
    </row>
    <row r="5">
      <c r="B5" s="24" t="inlineStr">
        <is>
          <t>Month</t>
        </is>
      </c>
      <c r="C5" s="24" t="inlineStr">
        <is>
          <t>Orders</t>
        </is>
      </c>
      <c r="D5" s="24" t="inlineStr">
        <is>
          <t>% of Total</t>
        </is>
      </c>
      <c r="E5" s="24" t="inlineStr">
        <is>
          <t>Running Total</t>
        </is>
      </c>
      <c r="F5" s="24" t="inlineStr">
        <is>
          <t>Cumul %</t>
        </is>
      </c>
      <c r="G5" s="24" t="inlineStr">
        <is>
          <t>Rank</t>
        </is>
      </c>
      <c r="H5" s="24" t="inlineStr">
        <is>
          <t>Tier</t>
        </is>
      </c>
    </row>
    <row r="6">
      <c r="B6" s="25" t="inlineStr">
        <is>
          <t>Jan</t>
        </is>
      </c>
      <c r="C6" s="26" t="n">
        <v>387</v>
      </c>
      <c r="D6" s="27" t="n">
        <v>0.03872323394036422</v>
      </c>
      <c r="E6" s="26" t="n">
        <v>387</v>
      </c>
      <c r="F6" s="27" t="n">
        <v>0.03872323394036422</v>
      </c>
      <c r="G6" s="25" t="n">
        <v>11</v>
      </c>
      <c r="H6" s="25" t="inlineStr">
        <is>
          <t>Low</t>
        </is>
      </c>
    </row>
    <row r="7">
      <c r="B7" s="28" t="inlineStr">
        <is>
          <t>Feb</t>
        </is>
      </c>
      <c r="C7" s="29" t="n">
        <v>301</v>
      </c>
      <c r="D7" s="30" t="n">
        <v>0.0301180708425055</v>
      </c>
      <c r="E7" s="29" t="n">
        <v>688</v>
      </c>
      <c r="F7" s="30" t="n">
        <v>0.06884130478286972</v>
      </c>
      <c r="G7" s="28" t="n">
        <v>12</v>
      </c>
      <c r="H7" s="28" t="inlineStr">
        <is>
          <t>Low</t>
        </is>
      </c>
    </row>
    <row r="8">
      <c r="B8" s="25" t="inlineStr">
        <is>
          <t>Mar</t>
        </is>
      </c>
      <c r="C8" s="26" t="n">
        <v>680</v>
      </c>
      <c r="D8" s="27" t="n">
        <v>0.06804082449469682</v>
      </c>
      <c r="E8" s="26" t="n">
        <v>1368</v>
      </c>
      <c r="F8" s="27" t="n">
        <v>0.1368821292775665</v>
      </c>
      <c r="G8" s="25" t="n">
        <v>9</v>
      </c>
      <c r="H8" s="25" t="inlineStr">
        <is>
          <t>Mid</t>
        </is>
      </c>
    </row>
    <row r="9">
      <c r="B9" s="28" t="inlineStr">
        <is>
          <t>Apr</t>
        </is>
      </c>
      <c r="C9" s="29" t="n">
        <v>663</v>
      </c>
      <c r="D9" s="30" t="n">
        <v>0.06633980388232939</v>
      </c>
      <c r="E9" s="29" t="n">
        <v>2031</v>
      </c>
      <c r="F9" s="30" t="n">
        <v>0.203221933159896</v>
      </c>
      <c r="G9" s="28" t="n">
        <v>10</v>
      </c>
      <c r="H9" s="28" t="inlineStr">
        <is>
          <t>Mid</t>
        </is>
      </c>
    </row>
    <row r="10">
      <c r="B10" s="25" t="inlineStr">
        <is>
          <t>May</t>
        </is>
      </c>
      <c r="C10" s="26" t="n">
        <v>750</v>
      </c>
      <c r="D10" s="27" t="n">
        <v>0.07504502701620973</v>
      </c>
      <c r="E10" s="26" t="n">
        <v>2781</v>
      </c>
      <c r="F10" s="27" t="n">
        <v>0.2782669601761056</v>
      </c>
      <c r="G10" s="25" t="n">
        <v>5</v>
      </c>
      <c r="H10" s="25" t="inlineStr">
        <is>
          <t>Mid</t>
        </is>
      </c>
    </row>
    <row r="11">
      <c r="B11" s="28" t="inlineStr">
        <is>
          <t>Jun</t>
        </is>
      </c>
      <c r="C11" s="29" t="n">
        <v>709</v>
      </c>
      <c r="D11" s="30" t="n">
        <v>0.0709425655393236</v>
      </c>
      <c r="E11" s="29" t="n">
        <v>3490</v>
      </c>
      <c r="F11" s="30" t="n">
        <v>0.3492095257154292</v>
      </c>
      <c r="G11" s="28" t="n">
        <v>7</v>
      </c>
      <c r="H11" s="28" t="inlineStr">
        <is>
          <t>Mid</t>
        </is>
      </c>
    </row>
    <row r="12">
      <c r="B12" s="25" t="inlineStr">
        <is>
          <t>Jul</t>
        </is>
      </c>
      <c r="C12" s="26" t="n">
        <v>708</v>
      </c>
      <c r="D12" s="27" t="n">
        <v>0.07084250550330198</v>
      </c>
      <c r="E12" s="26" t="n">
        <v>4198</v>
      </c>
      <c r="F12" s="27" t="n">
        <v>0.4200520312187312</v>
      </c>
      <c r="G12" s="25" t="n">
        <v>8</v>
      </c>
      <c r="H12" s="25" t="inlineStr">
        <is>
          <t>Mid</t>
        </is>
      </c>
    </row>
    <row r="13">
      <c r="B13" s="28" t="inlineStr">
        <is>
          <t>Aug</t>
        </is>
      </c>
      <c r="C13" s="29" t="n">
        <v>710</v>
      </c>
      <c r="D13" s="30" t="n">
        <v>0.07104262557534521</v>
      </c>
      <c r="E13" s="29" t="n">
        <v>4908</v>
      </c>
      <c r="F13" s="30" t="n">
        <v>0.4910946567940764</v>
      </c>
      <c r="G13" s="28" t="n">
        <v>6</v>
      </c>
      <c r="H13" s="28" t="inlineStr">
        <is>
          <t>Mid</t>
        </is>
      </c>
    </row>
    <row r="14">
      <c r="B14" s="25" t="inlineStr">
        <is>
          <t>Sep</t>
        </is>
      </c>
      <c r="C14" s="26" t="n">
        <v>1386</v>
      </c>
      <c r="D14" s="27" t="n">
        <v>0.1386832099259556</v>
      </c>
      <c r="E14" s="26" t="n">
        <v>6294</v>
      </c>
      <c r="F14" s="27" t="n">
        <v>0.629777866720032</v>
      </c>
      <c r="G14" s="25" t="n">
        <v>3</v>
      </c>
      <c r="H14" s="25" t="inlineStr">
        <is>
          <t>High</t>
        </is>
      </c>
    </row>
    <row r="15">
      <c r="B15" s="28" t="inlineStr">
        <is>
          <t>Oct</t>
        </is>
      </c>
      <c r="C15" s="29" t="n">
        <v>817</v>
      </c>
      <c r="D15" s="30" t="n">
        <v>0.0817490494296578</v>
      </c>
      <c r="E15" s="29" t="n">
        <v>7111</v>
      </c>
      <c r="F15" s="30" t="n">
        <v>0.7115269161496898</v>
      </c>
      <c r="G15" s="28" t="n">
        <v>4</v>
      </c>
      <c r="H15" s="28" t="inlineStr">
        <is>
          <t>Mid</t>
        </is>
      </c>
    </row>
    <row r="16">
      <c r="B16" s="25" t="inlineStr">
        <is>
          <t>Nov</t>
        </is>
      </c>
      <c r="C16" s="26" t="n">
        <v>1462</v>
      </c>
      <c r="D16" s="27" t="n">
        <v>0.1462877726635982</v>
      </c>
      <c r="E16" s="26" t="n">
        <v>8573</v>
      </c>
      <c r="F16" s="27" t="n">
        <v>0.8578146888132879</v>
      </c>
      <c r="G16" s="25" t="n">
        <v>1</v>
      </c>
      <c r="H16" s="25" t="inlineStr">
        <is>
          <t>High</t>
        </is>
      </c>
    </row>
    <row r="17">
      <c r="B17" s="28" t="inlineStr">
        <is>
          <t>Dec</t>
        </is>
      </c>
      <c r="C17" s="29" t="n">
        <v>1421</v>
      </c>
      <c r="D17" s="30" t="n">
        <v>0.142185311186712</v>
      </c>
      <c r="E17" s="29" t="n">
        <v>9994</v>
      </c>
      <c r="F17" s="30" t="n">
        <v>1</v>
      </c>
      <c r="G17" s="28" t="n">
        <v>2</v>
      </c>
      <c r="H17" s="28" t="inlineStr">
        <is>
          <t>High</t>
        </is>
      </c>
    </row>
    <row r="18">
      <c r="B18" s="24" t="inlineStr">
        <is>
          <t>TOTAL</t>
        </is>
      </c>
      <c r="C18" s="24" t="n">
        <v>9994</v>
      </c>
      <c r="D18" s="24" t="inlineStr">
        <is>
          <t>-</t>
        </is>
      </c>
      <c r="E18" s="24" t="inlineStr">
        <is>
          <t>-</t>
        </is>
      </c>
      <c r="F18" s="24" t="inlineStr">
        <is>
          <t>-</t>
        </is>
      </c>
      <c r="G18" s="24" t="inlineStr">
        <is>
          <t>-</t>
        </is>
      </c>
      <c r="H18" s="24" t="inlineStr">
        <is>
          <t>-</t>
        </is>
      </c>
    </row>
  </sheetData>
  <mergeCells count="2">
    <mergeCell ref="A3:G3"/>
    <mergeCell ref="A1:G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E87722"/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4" customWidth="1" min="4" max="4"/>
    <col width="14" customWidth="1" min="5" max="5"/>
    <col width="22" customWidth="1" min="6" max="6"/>
  </cols>
  <sheetData>
    <row r="1">
      <c r="A1" s="35" t="inlineStr">
        <is>
          <t>Product Category &amp; Customer Segment Analysis</t>
        </is>
      </c>
    </row>
    <row r="2"/>
    <row r="4">
      <c r="A4" s="22" t="inlineStr">
        <is>
          <t>Product Category Breakdown</t>
        </is>
      </c>
    </row>
    <row r="5">
      <c r="B5" s="24" t="inlineStr">
        <is>
          <t>Category</t>
        </is>
      </c>
      <c r="C5" s="24" t="inlineStr">
        <is>
          <t>Orders</t>
        </is>
      </c>
      <c r="D5" s="24" t="inlineStr">
        <is>
          <t>% Share</t>
        </is>
      </c>
      <c r="E5" s="24" t="inlineStr">
        <is>
          <t>Rank</t>
        </is>
      </c>
      <c r="F5" s="24" t="inlineStr">
        <is>
          <t>Notes</t>
        </is>
      </c>
    </row>
    <row r="6">
      <c r="B6" s="25" t="inlineStr">
        <is>
          <t>Furniture</t>
        </is>
      </c>
      <c r="C6" s="26" t="n">
        <v>2121</v>
      </c>
      <c r="D6" s="27" t="n">
        <v>0.2122273364018411</v>
      </c>
      <c r="E6" s="25" t="n">
        <v>1</v>
      </c>
      <c r="F6" s="37" t="inlineStr">
        <is>
          <t>Core revenue driver</t>
        </is>
      </c>
    </row>
    <row r="7">
      <c r="B7" s="28" t="inlineStr">
        <is>
          <t>Office Supplies</t>
        </is>
      </c>
      <c r="C7" s="29" t="n">
        <v>6026</v>
      </c>
      <c r="D7" s="30" t="n">
        <v>0.6029617770662398</v>
      </c>
      <c r="E7" s="28" t="n">
        <v>2</v>
      </c>
      <c r="F7" s="38" t="inlineStr">
        <is>
          <t>Highest volume category</t>
        </is>
      </c>
    </row>
    <row r="8">
      <c r="B8" s="25" t="inlineStr">
        <is>
          <t>Technology</t>
        </is>
      </c>
      <c r="C8" s="26" t="n">
        <v>1847</v>
      </c>
      <c r="D8" s="27" t="n">
        <v>0.1848108865319192</v>
      </c>
      <c r="E8" s="25" t="n">
        <v>3</v>
      </c>
      <c r="F8" s="37" t="inlineStr">
        <is>
          <t>Premium-priced segment</t>
        </is>
      </c>
    </row>
    <row r="9">
      <c r="B9" s="24" t="inlineStr">
        <is>
          <t>TOTAL</t>
        </is>
      </c>
      <c r="C9" s="24" t="n">
        <v>9994</v>
      </c>
      <c r="D9" s="31" t="n">
        <v>1</v>
      </c>
      <c r="E9" s="24" t="inlineStr">
        <is>
          <t>-</t>
        </is>
      </c>
      <c r="F9" s="24" t="inlineStr">
        <is>
          <t>-</t>
        </is>
      </c>
    </row>
    <row r="26">
      <c r="A26" s="33" t="inlineStr">
        <is>
          <t>Customer Segment Breakdown</t>
        </is>
      </c>
    </row>
    <row r="27">
      <c r="B27" s="24" t="inlineStr">
        <is>
          <t>Segment</t>
        </is>
      </c>
      <c r="C27" s="24" t="inlineStr">
        <is>
          <t>Orders</t>
        </is>
      </c>
      <c r="D27" s="24" t="inlineStr">
        <is>
          <t>% Share</t>
        </is>
      </c>
      <c r="E27" s="24" t="inlineStr">
        <is>
          <t>Rank</t>
        </is>
      </c>
      <c r="F27" s="24" t="inlineStr">
        <is>
          <t>Notes</t>
        </is>
      </c>
    </row>
    <row r="28">
      <c r="B28" s="25" t="inlineStr">
        <is>
          <t>Consumer</t>
        </is>
      </c>
      <c r="C28" s="26" t="n">
        <v>5191</v>
      </c>
      <c r="D28" s="27" t="n">
        <v>0.5194116469881929</v>
      </c>
      <c r="E28" s="25" t="n">
        <v>1</v>
      </c>
      <c r="F28" s="37" t="inlineStr">
        <is>
          <t>Largest – priority focus</t>
        </is>
      </c>
    </row>
    <row r="29">
      <c r="B29" s="28" t="inlineStr">
        <is>
          <t>Corporate</t>
        </is>
      </c>
      <c r="C29" s="29" t="n">
        <v>3020</v>
      </c>
      <c r="D29" s="30" t="n">
        <v>0.3021813087852712</v>
      </c>
      <c r="E29" s="28" t="n">
        <v>2</v>
      </c>
      <c r="F29" s="38" t="inlineStr">
        <is>
          <t>Mid-tier – corporate accounts</t>
        </is>
      </c>
    </row>
    <row r="30">
      <c r="B30" s="25" t="inlineStr">
        <is>
          <t>Home Office</t>
        </is>
      </c>
      <c r="C30" s="26" t="n">
        <v>1783</v>
      </c>
      <c r="D30" s="27" t="n">
        <v>0.1784070442265359</v>
      </c>
      <c r="E30" s="25" t="n">
        <v>3</v>
      </c>
      <c r="F30" s="37" t="inlineStr">
        <is>
          <t>Smallest – niche marketing</t>
        </is>
      </c>
    </row>
    <row r="31">
      <c r="B31" s="24" t="inlineStr">
        <is>
          <t>TOTAL</t>
        </is>
      </c>
      <c r="C31" s="24" t="n">
        <v>9994</v>
      </c>
      <c r="D31" s="31" t="n">
        <v>1</v>
      </c>
      <c r="E31" s="24" t="inlineStr">
        <is>
          <t>-</t>
        </is>
      </c>
      <c r="F31" s="24" t="inlineStr">
        <is>
          <t>-</t>
        </is>
      </c>
    </row>
  </sheetData>
  <mergeCells count="3">
    <mergeCell ref="A26:F26"/>
    <mergeCell ref="A4:F4"/>
    <mergeCell ref="A1:F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35" t="inlineStr">
        <is>
          <t>Geographic Sales Distribution – Top States by Order Volume</t>
        </is>
      </c>
    </row>
    <row r="2"/>
    <row r="4">
      <c r="A4" s="33" t="inlineStr">
        <is>
          <t>Top 15 States by Order Volume</t>
        </is>
      </c>
    </row>
    <row r="5">
      <c r="B5" s="24" t="inlineStr">
        <is>
          <t>State</t>
        </is>
      </c>
      <c r="C5" s="24" t="inlineStr">
        <is>
          <t>Orders</t>
        </is>
      </c>
      <c r="D5" s="24" t="inlineStr">
        <is>
          <t>% of Total</t>
        </is>
      </c>
      <c r="E5" s="24" t="inlineStr">
        <is>
          <t>Cumulative %</t>
        </is>
      </c>
      <c r="F5" s="24" t="inlineStr">
        <is>
          <t>Rank</t>
        </is>
      </c>
      <c r="G5" s="24" t="inlineStr">
        <is>
          <t>Tier</t>
        </is>
      </c>
    </row>
    <row r="6">
      <c r="B6" s="37" t="inlineStr">
        <is>
          <t>California</t>
        </is>
      </c>
      <c r="C6" s="26" t="n">
        <v>2001</v>
      </c>
      <c r="D6" s="27" t="n">
        <v>0.2002201320792475</v>
      </c>
      <c r="E6" s="27" t="n">
        <v>0.2002201320792475</v>
      </c>
      <c r="F6" s="25" t="n">
        <v>1</v>
      </c>
      <c r="G6" s="25" t="inlineStr">
        <is>
          <t>Top 3</t>
        </is>
      </c>
    </row>
    <row r="7">
      <c r="B7" s="38" t="inlineStr">
        <is>
          <t>New York</t>
        </is>
      </c>
      <c r="C7" s="29" t="n">
        <v>1128</v>
      </c>
      <c r="D7" s="30" t="n">
        <v>0.1128677206323794</v>
      </c>
      <c r="E7" s="30" t="n">
        <v>0.313087852711627</v>
      </c>
      <c r="F7" s="28" t="n">
        <v>2</v>
      </c>
      <c r="G7" s="28" t="inlineStr">
        <is>
          <t>Top 3</t>
        </is>
      </c>
    </row>
    <row r="8">
      <c r="B8" s="37" t="inlineStr">
        <is>
          <t>Texas</t>
        </is>
      </c>
      <c r="C8" s="26" t="n">
        <v>985</v>
      </c>
      <c r="D8" s="27" t="n">
        <v>0.09855913548128878</v>
      </c>
      <c r="E8" s="27" t="n">
        <v>0.4116469881929157</v>
      </c>
      <c r="F8" s="25" t="n">
        <v>3</v>
      </c>
      <c r="G8" s="25" t="inlineStr">
        <is>
          <t>Top 3</t>
        </is>
      </c>
    </row>
    <row r="9">
      <c r="B9" s="38" t="inlineStr">
        <is>
          <t>Pennsylvania</t>
        </is>
      </c>
      <c r="C9" s="29" t="n">
        <v>587</v>
      </c>
      <c r="D9" s="30" t="n">
        <v>0.05873524114468681</v>
      </c>
      <c r="E9" s="30" t="n">
        <v>0.4703822293376025</v>
      </c>
      <c r="F9" s="28" t="n">
        <v>4</v>
      </c>
      <c r="G9" s="28" t="inlineStr">
        <is>
          <t>Top 10</t>
        </is>
      </c>
    </row>
    <row r="10">
      <c r="B10" s="37" t="inlineStr">
        <is>
          <t>Washington</t>
        </is>
      </c>
      <c r="C10" s="26" t="n">
        <v>506</v>
      </c>
      <c r="D10" s="27" t="n">
        <v>0.05063037822693616</v>
      </c>
      <c r="E10" s="27" t="n">
        <v>0.5210126075645387</v>
      </c>
      <c r="F10" s="25" t="n">
        <v>5</v>
      </c>
      <c r="G10" s="25" t="inlineStr">
        <is>
          <t>Top 10</t>
        </is>
      </c>
    </row>
    <row r="11">
      <c r="B11" s="38" t="inlineStr">
        <is>
          <t>Illinois</t>
        </is>
      </c>
      <c r="C11" s="29" t="n">
        <v>492</v>
      </c>
      <c r="D11" s="30" t="n">
        <v>0.04922953772263358</v>
      </c>
      <c r="E11" s="30" t="n">
        <v>0.5702421452871723</v>
      </c>
      <c r="F11" s="28" t="n">
        <v>6</v>
      </c>
      <c r="G11" s="28" t="inlineStr">
        <is>
          <t>Top 10</t>
        </is>
      </c>
    </row>
    <row r="12">
      <c r="B12" s="37" t="inlineStr">
        <is>
          <t>Ohio</t>
        </is>
      </c>
      <c r="C12" s="26" t="n">
        <v>469</v>
      </c>
      <c r="D12" s="27" t="n">
        <v>0.04692815689413648</v>
      </c>
      <c r="E12" s="27" t="n">
        <v>0.6171703021813087</v>
      </c>
      <c r="F12" s="25" t="n">
        <v>7</v>
      </c>
      <c r="G12" s="25" t="inlineStr">
        <is>
          <t>Top 10</t>
        </is>
      </c>
    </row>
    <row r="13">
      <c r="B13" s="38" t="inlineStr">
        <is>
          <t>Florida</t>
        </is>
      </c>
      <c r="C13" s="29" t="n">
        <v>383</v>
      </c>
      <c r="D13" s="30" t="n">
        <v>0.03832299379627777</v>
      </c>
      <c r="E13" s="30" t="n">
        <v>0.6554932959775865</v>
      </c>
      <c r="F13" s="28" t="n">
        <v>8</v>
      </c>
      <c r="G13" s="28" t="inlineStr">
        <is>
          <t>Top 10</t>
        </is>
      </c>
    </row>
    <row r="14">
      <c r="B14" s="37" t="inlineStr">
        <is>
          <t>Michigan</t>
        </is>
      </c>
      <c r="C14" s="26" t="n">
        <v>255</v>
      </c>
      <c r="D14" s="27" t="n">
        <v>0.02551530918551131</v>
      </c>
      <c r="E14" s="27" t="n">
        <v>0.6810086051630979</v>
      </c>
      <c r="F14" s="25" t="n">
        <v>9</v>
      </c>
      <c r="G14" s="25" t="inlineStr">
        <is>
          <t>Top 10</t>
        </is>
      </c>
    </row>
    <row r="15">
      <c r="B15" s="38" t="inlineStr">
        <is>
          <t>North Carolina</t>
        </is>
      </c>
      <c r="C15" s="29" t="n">
        <v>249</v>
      </c>
      <c r="D15" s="30" t="n">
        <v>0.02491494896938163</v>
      </c>
      <c r="E15" s="30" t="n">
        <v>0.7059235541324795</v>
      </c>
      <c r="F15" s="28" t="n">
        <v>10</v>
      </c>
      <c r="G15" s="28" t="inlineStr">
        <is>
          <t>Top 10</t>
        </is>
      </c>
    </row>
    <row r="16">
      <c r="B16" s="37" t="inlineStr">
        <is>
          <t>Arizona</t>
        </is>
      </c>
      <c r="C16" s="26" t="n">
        <v>224</v>
      </c>
      <c r="D16" s="27" t="n">
        <v>0.0224134480688413</v>
      </c>
      <c r="E16" s="27" t="n">
        <v>0.7283370022013208</v>
      </c>
      <c r="F16" s="25" t="n">
        <v>11</v>
      </c>
      <c r="G16" s="25" t="inlineStr">
        <is>
          <t>Mid Tier</t>
        </is>
      </c>
    </row>
    <row r="17">
      <c r="B17" s="38" t="inlineStr">
        <is>
          <t>Virginia</t>
        </is>
      </c>
      <c r="C17" s="29" t="n">
        <v>224</v>
      </c>
      <c r="D17" s="30" t="n">
        <v>0.0224134480688413</v>
      </c>
      <c r="E17" s="30" t="n">
        <v>0.7507504502701621</v>
      </c>
      <c r="F17" s="28" t="n">
        <v>12</v>
      </c>
      <c r="G17" s="28" t="inlineStr">
        <is>
          <t>Mid Tier</t>
        </is>
      </c>
    </row>
    <row r="18">
      <c r="B18" s="37" t="inlineStr">
        <is>
          <t>Georgia</t>
        </is>
      </c>
      <c r="C18" s="26" t="n">
        <v>184</v>
      </c>
      <c r="D18" s="27" t="n">
        <v>0.01841104662797679</v>
      </c>
      <c r="E18" s="27" t="n">
        <v>0.7691614968981388</v>
      </c>
      <c r="F18" s="25" t="n">
        <v>13</v>
      </c>
      <c r="G18" s="25" t="inlineStr">
        <is>
          <t>Mid Tier</t>
        </is>
      </c>
    </row>
    <row r="19">
      <c r="B19" s="38" t="inlineStr">
        <is>
          <t>Tennessee</t>
        </is>
      </c>
      <c r="C19" s="29" t="n">
        <v>183</v>
      </c>
      <c r="D19" s="30" t="n">
        <v>0.01831098659195517</v>
      </c>
      <c r="E19" s="30" t="n">
        <v>0.787472483490094</v>
      </c>
      <c r="F19" s="28" t="n">
        <v>14</v>
      </c>
      <c r="G19" s="28" t="inlineStr">
        <is>
          <t>Mid Tier</t>
        </is>
      </c>
    </row>
    <row r="20">
      <c r="B20" s="37" t="inlineStr">
        <is>
          <t>Colorado</t>
        </is>
      </c>
      <c r="C20" s="26" t="n">
        <v>182</v>
      </c>
      <c r="D20" s="27" t="n">
        <v>0.01821092655593356</v>
      </c>
      <c r="E20" s="27" t="n">
        <v>0.8056834100460276</v>
      </c>
      <c r="F20" s="25" t="n">
        <v>15</v>
      </c>
      <c r="G20" s="25" t="inlineStr">
        <is>
          <t>Mid Tier</t>
        </is>
      </c>
    </row>
  </sheetData>
  <mergeCells count="2">
    <mergeCell ref="A4:G4"/>
    <mergeCell ref="A1:G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BDD7EE"/>
    <outlinePr summaryBelow="1" summaryRight="1"/>
    <pageSetUpPr/>
  </sheetPr>
  <dimension ref="A1:D5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0" customWidth="1" min="4" max="4"/>
  </cols>
  <sheetData>
    <row r="1">
      <c r="A1" s="39" t="inlineStr">
        <is>
          <t>Raw Pivot Data – All States</t>
        </is>
      </c>
    </row>
    <row r="2"/>
    <row r="4">
      <c r="A4" s="40" t="inlineStr">
        <is>
          <t>All States – Order Counts</t>
        </is>
      </c>
    </row>
    <row r="5">
      <c r="A5" s="24" t="inlineStr">
        <is>
          <t>State</t>
        </is>
      </c>
      <c r="B5" s="24" t="inlineStr">
        <is>
          <t>Orders</t>
        </is>
      </c>
      <c r="C5" s="24" t="inlineStr">
        <is>
          <t>% of Total</t>
        </is>
      </c>
      <c r="D5" s="24" t="inlineStr">
        <is>
          <t>Rank</t>
        </is>
      </c>
    </row>
    <row r="6">
      <c r="A6" s="37" t="inlineStr">
        <is>
          <t>Alabama</t>
        </is>
      </c>
      <c r="B6" s="26" t="n">
        <v>61</v>
      </c>
      <c r="C6" s="27" t="n">
        <v>0.006103662197318391</v>
      </c>
      <c r="D6" s="25" t="n">
        <v>1</v>
      </c>
    </row>
    <row r="7">
      <c r="A7" s="38" t="inlineStr">
        <is>
          <t>Arizona</t>
        </is>
      </c>
      <c r="B7" s="29" t="n">
        <v>224</v>
      </c>
      <c r="C7" s="30" t="n">
        <v>0.0224134480688413</v>
      </c>
      <c r="D7" s="28" t="n">
        <v>2</v>
      </c>
    </row>
    <row r="8">
      <c r="A8" s="37" t="inlineStr">
        <is>
          <t>Arkansas</t>
        </is>
      </c>
      <c r="B8" s="26" t="n">
        <v>60</v>
      </c>
      <c r="C8" s="27" t="n">
        <v>0.006003602161296778</v>
      </c>
      <c r="D8" s="25" t="n">
        <v>3</v>
      </c>
    </row>
    <row r="9">
      <c r="A9" s="38" t="inlineStr">
        <is>
          <t>California</t>
        </is>
      </c>
      <c r="B9" s="29" t="n">
        <v>2001</v>
      </c>
      <c r="C9" s="30" t="n">
        <v>0.2002201320792475</v>
      </c>
      <c r="D9" s="28" t="n">
        <v>4</v>
      </c>
    </row>
    <row r="10">
      <c r="A10" s="37" t="inlineStr">
        <is>
          <t>Colorado</t>
        </is>
      </c>
      <c r="B10" s="26" t="n">
        <v>182</v>
      </c>
      <c r="C10" s="27" t="n">
        <v>0.01821092655593356</v>
      </c>
      <c r="D10" s="25" t="n">
        <v>5</v>
      </c>
    </row>
    <row r="11">
      <c r="A11" s="38" t="inlineStr">
        <is>
          <t>Connecticut</t>
        </is>
      </c>
      <c r="B11" s="29" t="n">
        <v>82</v>
      </c>
      <c r="C11" s="30" t="n">
        <v>0.008204922953772264</v>
      </c>
      <c r="D11" s="28" t="n">
        <v>6</v>
      </c>
    </row>
    <row r="12">
      <c r="A12" s="37" t="inlineStr">
        <is>
          <t>Delaware</t>
        </is>
      </c>
      <c r="B12" s="26" t="n">
        <v>96</v>
      </c>
      <c r="C12" s="27" t="n">
        <v>0.009605763458074845</v>
      </c>
      <c r="D12" s="25" t="n">
        <v>7</v>
      </c>
    </row>
    <row r="13">
      <c r="A13" s="38" t="inlineStr">
        <is>
          <t>District of Columbia</t>
        </is>
      </c>
      <c r="B13" s="29" t="n">
        <v>10</v>
      </c>
      <c r="C13" s="30" t="n">
        <v>0.00100060036021613</v>
      </c>
      <c r="D13" s="28" t="n">
        <v>8</v>
      </c>
    </row>
    <row r="14">
      <c r="A14" s="37" t="inlineStr">
        <is>
          <t>Florida</t>
        </is>
      </c>
      <c r="B14" s="26" t="n">
        <v>383</v>
      </c>
      <c r="C14" s="27" t="n">
        <v>0.03832299379627777</v>
      </c>
      <c r="D14" s="25" t="n">
        <v>9</v>
      </c>
    </row>
    <row r="15">
      <c r="A15" s="38" t="inlineStr">
        <is>
          <t>Georgia</t>
        </is>
      </c>
      <c r="B15" s="29" t="n">
        <v>184</v>
      </c>
      <c r="C15" s="30" t="n">
        <v>0.01841104662797679</v>
      </c>
      <c r="D15" s="28" t="n">
        <v>10</v>
      </c>
    </row>
    <row r="16">
      <c r="A16" s="37" t="inlineStr">
        <is>
          <t>Idaho</t>
        </is>
      </c>
      <c r="B16" s="26" t="n">
        <v>21</v>
      </c>
      <c r="C16" s="27" t="n">
        <v>0.002101260756453872</v>
      </c>
      <c r="D16" s="25" t="n">
        <v>11</v>
      </c>
    </row>
    <row r="17">
      <c r="A17" s="38" t="inlineStr">
        <is>
          <t>Illinois</t>
        </is>
      </c>
      <c r="B17" s="29" t="n">
        <v>492</v>
      </c>
      <c r="C17" s="30" t="n">
        <v>0.04922953772263358</v>
      </c>
      <c r="D17" s="28" t="n">
        <v>12</v>
      </c>
    </row>
    <row r="18">
      <c r="A18" s="37" t="inlineStr">
        <is>
          <t>Indiana</t>
        </is>
      </c>
      <c r="B18" s="26" t="n">
        <v>149</v>
      </c>
      <c r="C18" s="27" t="n">
        <v>0.01490894536722033</v>
      </c>
      <c r="D18" s="25" t="n">
        <v>13</v>
      </c>
    </row>
    <row r="19">
      <c r="A19" s="38" t="inlineStr">
        <is>
          <t>Iowa</t>
        </is>
      </c>
      <c r="B19" s="29" t="n">
        <v>30</v>
      </c>
      <c r="C19" s="30" t="n">
        <v>0.003001801080648389</v>
      </c>
      <c r="D19" s="28" t="n">
        <v>14</v>
      </c>
    </row>
    <row r="20">
      <c r="A20" s="37" t="inlineStr">
        <is>
          <t>Kansas</t>
        </is>
      </c>
      <c r="B20" s="26" t="n">
        <v>24</v>
      </c>
      <c r="C20" s="27" t="n">
        <v>0.002401440864518711</v>
      </c>
      <c r="D20" s="25" t="n">
        <v>15</v>
      </c>
    </row>
    <row r="21">
      <c r="A21" s="38" t="inlineStr">
        <is>
          <t>Kentucky</t>
        </is>
      </c>
      <c r="B21" s="29" t="n">
        <v>139</v>
      </c>
      <c r="C21" s="30" t="n">
        <v>0.0139083450070042</v>
      </c>
      <c r="D21" s="28" t="n">
        <v>16</v>
      </c>
    </row>
    <row r="22">
      <c r="A22" s="37" t="inlineStr">
        <is>
          <t>Louisiana</t>
        </is>
      </c>
      <c r="B22" s="26" t="n">
        <v>42</v>
      </c>
      <c r="C22" s="27" t="n">
        <v>0.004202521512907745</v>
      </c>
      <c r="D22" s="25" t="n">
        <v>17</v>
      </c>
    </row>
    <row r="23">
      <c r="A23" s="38" t="inlineStr">
        <is>
          <t>Maine</t>
        </is>
      </c>
      <c r="B23" s="29" t="n">
        <v>8</v>
      </c>
      <c r="C23" s="30" t="n">
        <v>0.0008004802881729037</v>
      </c>
      <c r="D23" s="28" t="n">
        <v>18</v>
      </c>
    </row>
    <row r="24">
      <c r="A24" s="37" t="inlineStr">
        <is>
          <t>Maryland</t>
        </is>
      </c>
      <c r="B24" s="26" t="n">
        <v>105</v>
      </c>
      <c r="C24" s="27" t="n">
        <v>0.01050630378226936</v>
      </c>
      <c r="D24" s="25" t="n">
        <v>19</v>
      </c>
    </row>
    <row r="25">
      <c r="A25" s="38" t="inlineStr">
        <is>
          <t>Massachusetts</t>
        </is>
      </c>
      <c r="B25" s="29" t="n">
        <v>135</v>
      </c>
      <c r="C25" s="30" t="n">
        <v>0.01350810486291775</v>
      </c>
      <c r="D25" s="28" t="n">
        <v>20</v>
      </c>
    </row>
    <row r="26">
      <c r="A26" s="37" t="inlineStr">
        <is>
          <t>Michigan</t>
        </is>
      </c>
      <c r="B26" s="26" t="n">
        <v>255</v>
      </c>
      <c r="C26" s="27" t="n">
        <v>0.02551530918551131</v>
      </c>
      <c r="D26" s="25" t="n">
        <v>21</v>
      </c>
    </row>
    <row r="27">
      <c r="A27" s="38" t="inlineStr">
        <is>
          <t>Minnesota</t>
        </is>
      </c>
      <c r="B27" s="29" t="n">
        <v>89</v>
      </c>
      <c r="C27" s="30" t="n">
        <v>0.008905343205923554</v>
      </c>
      <c r="D27" s="28" t="n">
        <v>22</v>
      </c>
    </row>
    <row r="28">
      <c r="A28" s="37" t="inlineStr">
        <is>
          <t>Mississippi</t>
        </is>
      </c>
      <c r="B28" s="26" t="n">
        <v>53</v>
      </c>
      <c r="C28" s="27" t="n">
        <v>0.005303181909145487</v>
      </c>
      <c r="D28" s="25" t="n">
        <v>23</v>
      </c>
    </row>
    <row r="29">
      <c r="A29" s="38" t="inlineStr">
        <is>
          <t>Missouri</t>
        </is>
      </c>
      <c r="B29" s="29" t="n">
        <v>66</v>
      </c>
      <c r="C29" s="30" t="n">
        <v>0.006603962377426456</v>
      </c>
      <c r="D29" s="28" t="n">
        <v>24</v>
      </c>
    </row>
    <row r="30">
      <c r="A30" s="37" t="inlineStr">
        <is>
          <t>Montana</t>
        </is>
      </c>
      <c r="B30" s="26" t="n">
        <v>15</v>
      </c>
      <c r="C30" s="27" t="n">
        <v>0.001500900540324195</v>
      </c>
      <c r="D30" s="25" t="n">
        <v>25</v>
      </c>
    </row>
    <row r="31">
      <c r="A31" s="38" t="inlineStr">
        <is>
          <t>Nebraska</t>
        </is>
      </c>
      <c r="B31" s="29" t="n">
        <v>38</v>
      </c>
      <c r="C31" s="30" t="n">
        <v>0.003802281368821293</v>
      </c>
      <c r="D31" s="28" t="n">
        <v>26</v>
      </c>
    </row>
    <row r="32">
      <c r="A32" s="37" t="inlineStr">
        <is>
          <t>Nevada</t>
        </is>
      </c>
      <c r="B32" s="26" t="n">
        <v>39</v>
      </c>
      <c r="C32" s="27" t="n">
        <v>0.003902341404842906</v>
      </c>
      <c r="D32" s="25" t="n">
        <v>27</v>
      </c>
    </row>
    <row r="33">
      <c r="A33" s="38" t="inlineStr">
        <is>
          <t>New Hampshire</t>
        </is>
      </c>
      <c r="B33" s="29" t="n">
        <v>27</v>
      </c>
      <c r="C33" s="30" t="n">
        <v>0.00270162097258355</v>
      </c>
      <c r="D33" s="28" t="n">
        <v>28</v>
      </c>
    </row>
    <row r="34">
      <c r="A34" s="37" t="inlineStr">
        <is>
          <t>New Jersey</t>
        </is>
      </c>
      <c r="B34" s="26" t="n">
        <v>130</v>
      </c>
      <c r="C34" s="27" t="n">
        <v>0.01300780468280969</v>
      </c>
      <c r="D34" s="25" t="n">
        <v>29</v>
      </c>
    </row>
    <row r="35">
      <c r="A35" s="38" t="inlineStr">
        <is>
          <t>New Mexico</t>
        </is>
      </c>
      <c r="B35" s="29" t="n">
        <v>37</v>
      </c>
      <c r="C35" s="30" t="n">
        <v>0.00370222133279968</v>
      </c>
      <c r="D35" s="28" t="n">
        <v>30</v>
      </c>
    </row>
    <row r="36">
      <c r="A36" s="37" t="inlineStr">
        <is>
          <t>New York</t>
        </is>
      </c>
      <c r="B36" s="26" t="n">
        <v>1128</v>
      </c>
      <c r="C36" s="27" t="n">
        <v>0.1128677206323794</v>
      </c>
      <c r="D36" s="25" t="n">
        <v>31</v>
      </c>
    </row>
    <row r="37">
      <c r="A37" s="38" t="inlineStr">
        <is>
          <t>North Carolina</t>
        </is>
      </c>
      <c r="B37" s="29" t="n">
        <v>249</v>
      </c>
      <c r="C37" s="30" t="n">
        <v>0.02491494896938163</v>
      </c>
      <c r="D37" s="28" t="n">
        <v>32</v>
      </c>
    </row>
    <row r="38">
      <c r="A38" s="37" t="inlineStr">
        <is>
          <t>North Dakota</t>
        </is>
      </c>
      <c r="B38" s="26" t="n">
        <v>7</v>
      </c>
      <c r="C38" s="27" t="n">
        <v>0.0007004202521512907</v>
      </c>
      <c r="D38" s="25" t="n">
        <v>33</v>
      </c>
    </row>
    <row r="39">
      <c r="A39" s="38" t="inlineStr">
        <is>
          <t>Ohio</t>
        </is>
      </c>
      <c r="B39" s="29" t="n">
        <v>469</v>
      </c>
      <c r="C39" s="30" t="n">
        <v>0.04692815689413648</v>
      </c>
      <c r="D39" s="28" t="n">
        <v>34</v>
      </c>
    </row>
    <row r="40">
      <c r="A40" s="37" t="inlineStr">
        <is>
          <t>Oklahoma</t>
        </is>
      </c>
      <c r="B40" s="26" t="n">
        <v>66</v>
      </c>
      <c r="C40" s="27" t="n">
        <v>0.006603962377426456</v>
      </c>
      <c r="D40" s="25" t="n">
        <v>35</v>
      </c>
    </row>
    <row r="41">
      <c r="A41" s="38" t="inlineStr">
        <is>
          <t>Oregon</t>
        </is>
      </c>
      <c r="B41" s="29" t="n">
        <v>124</v>
      </c>
      <c r="C41" s="30" t="n">
        <v>0.01240744446668001</v>
      </c>
      <c r="D41" s="28" t="n">
        <v>36</v>
      </c>
    </row>
    <row r="42">
      <c r="A42" s="37" t="inlineStr">
        <is>
          <t>Pennsylvania</t>
        </is>
      </c>
      <c r="B42" s="26" t="n">
        <v>587</v>
      </c>
      <c r="C42" s="27" t="n">
        <v>0.05873524114468681</v>
      </c>
      <c r="D42" s="25" t="n">
        <v>37</v>
      </c>
    </row>
    <row r="43">
      <c r="A43" s="38" t="inlineStr">
        <is>
          <t>Rhode Island</t>
        </is>
      </c>
      <c r="B43" s="29" t="n">
        <v>56</v>
      </c>
      <c r="C43" s="30" t="n">
        <v>0.005603362017210326</v>
      </c>
      <c r="D43" s="28" t="n">
        <v>38</v>
      </c>
    </row>
    <row r="44">
      <c r="A44" s="37" t="inlineStr">
        <is>
          <t>South Carolina</t>
        </is>
      </c>
      <c r="B44" s="26" t="n">
        <v>42</v>
      </c>
      <c r="C44" s="27" t="n">
        <v>0.004202521512907745</v>
      </c>
      <c r="D44" s="25" t="n">
        <v>39</v>
      </c>
    </row>
    <row r="45">
      <c r="A45" s="38" t="inlineStr">
        <is>
          <t>South Dakota</t>
        </is>
      </c>
      <c r="B45" s="29" t="n">
        <v>12</v>
      </c>
      <c r="C45" s="30" t="n">
        <v>0.001200720432259356</v>
      </c>
      <c r="D45" s="28" t="n">
        <v>40</v>
      </c>
    </row>
    <row r="46">
      <c r="A46" s="37" t="inlineStr">
        <is>
          <t>Tennessee</t>
        </is>
      </c>
      <c r="B46" s="26" t="n">
        <v>183</v>
      </c>
      <c r="C46" s="27" t="n">
        <v>0.01831098659195517</v>
      </c>
      <c r="D46" s="25" t="n">
        <v>41</v>
      </c>
    </row>
    <row r="47">
      <c r="A47" s="38" t="inlineStr">
        <is>
          <t>Texas</t>
        </is>
      </c>
      <c r="B47" s="29" t="n">
        <v>985</v>
      </c>
      <c r="C47" s="30" t="n">
        <v>0.09855913548128878</v>
      </c>
      <c r="D47" s="28" t="n">
        <v>42</v>
      </c>
    </row>
    <row r="48">
      <c r="A48" s="37" t="inlineStr">
        <is>
          <t>Utah</t>
        </is>
      </c>
      <c r="B48" s="26" t="n">
        <v>53</v>
      </c>
      <c r="C48" s="27" t="n">
        <v>0.005303181909145487</v>
      </c>
      <c r="D48" s="25" t="n">
        <v>43</v>
      </c>
    </row>
    <row r="49">
      <c r="A49" s="38" t="inlineStr">
        <is>
          <t>Vermont</t>
        </is>
      </c>
      <c r="B49" s="29" t="n">
        <v>11</v>
      </c>
      <c r="C49" s="30" t="n">
        <v>0.001100660396237743</v>
      </c>
      <c r="D49" s="28" t="n">
        <v>44</v>
      </c>
    </row>
    <row r="50">
      <c r="A50" s="37" t="inlineStr">
        <is>
          <t>Virginia</t>
        </is>
      </c>
      <c r="B50" s="26" t="n">
        <v>224</v>
      </c>
      <c r="C50" s="27" t="n">
        <v>0.0224134480688413</v>
      </c>
      <c r="D50" s="25" t="n">
        <v>45</v>
      </c>
    </row>
    <row r="51">
      <c r="A51" s="38" t="inlineStr">
        <is>
          <t>Washington</t>
        </is>
      </c>
      <c r="B51" s="29" t="n">
        <v>506</v>
      </c>
      <c r="C51" s="30" t="n">
        <v>0.05063037822693616</v>
      </c>
      <c r="D51" s="28" t="n">
        <v>46</v>
      </c>
    </row>
    <row r="52">
      <c r="A52" s="37" t="inlineStr">
        <is>
          <t>West Virginia</t>
        </is>
      </c>
      <c r="B52" s="26" t="n">
        <v>4</v>
      </c>
      <c r="C52" s="27" t="n">
        <v>0.0004002401440864519</v>
      </c>
      <c r="D52" s="25" t="n">
        <v>47</v>
      </c>
    </row>
    <row r="53">
      <c r="A53" s="38" t="inlineStr">
        <is>
          <t>Wisconsin</t>
        </is>
      </c>
      <c r="B53" s="29" t="n">
        <v>110</v>
      </c>
      <c r="C53" s="30" t="n">
        <v>0.01100660396237743</v>
      </c>
      <c r="D53" s="28" t="n">
        <v>48</v>
      </c>
    </row>
    <row r="54">
      <c r="A54" s="37" t="inlineStr">
        <is>
          <t>Wyoming</t>
        </is>
      </c>
      <c r="B54" s="26" t="n">
        <v>1</v>
      </c>
      <c r="C54" s="27" t="n">
        <v>0.000100060036021613</v>
      </c>
      <c r="D54" s="25" t="n">
        <v>49</v>
      </c>
    </row>
  </sheetData>
  <mergeCells count="2">
    <mergeCell ref="A1:D2"/>
    <mergeCell ref="A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K7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4" customWidth="1" min="5" max="5"/>
    <col width="3" customWidth="1" min="6" max="6"/>
    <col width="22" customWidth="1" min="7" max="7"/>
    <col width="16" customWidth="1" min="8" max="8"/>
    <col width="16" customWidth="1" min="9" max="9"/>
    <col width="14" customWidth="1" min="10" max="10"/>
    <col width="3" customWidth="1" min="11" max="11"/>
  </cols>
  <sheetData>
    <row r="1" ht="18" customHeight="1">
      <c r="A1" s="44" t="inlineStr">
        <is>
          <t>PROFIT ANALYSIS</t>
        </is>
      </c>
    </row>
    <row r="2" ht="18" customHeight="1"/>
    <row r="3" ht="18" customHeight="1"/>
    <row r="4" ht="18" customHeight="1"/>
    <row r="5" ht="18" customHeight="1">
      <c r="B5" s="6" t="inlineStr">
        <is>
          <t>Total Profit</t>
        </is>
      </c>
      <c r="D5" s="2" t="inlineStr">
        <is>
          <t>Total Sales</t>
        </is>
      </c>
      <c r="G5" s="3" t="inlineStr">
        <is>
          <t>Profit Margin</t>
        </is>
      </c>
      <c r="I5" s="5" t="inlineStr">
        <is>
          <t>Best Year</t>
        </is>
      </c>
    </row>
    <row r="6" ht="18" customHeight="1">
      <c r="B6" s="11" t="inlineStr">
        <is>
          <t>$286,397</t>
        </is>
      </c>
      <c r="D6" s="45" t="inlineStr">
        <is>
          <t>$2,297,201</t>
        </is>
      </c>
      <c r="G6" s="8" t="inlineStr">
        <is>
          <t>12.5%</t>
        </is>
      </c>
      <c r="I6" s="10" t="inlineStr">
        <is>
          <t>2014 – $93.5K</t>
        </is>
      </c>
    </row>
    <row r="7" ht="18" customHeight="1">
      <c r="B7" s="16" t="n"/>
      <c r="D7" s="12" t="n"/>
      <c r="G7" s="13" t="n"/>
      <c r="I7" s="15" t="n"/>
    </row>
    <row r="8" ht="18" customHeight="1">
      <c r="B8" s="16" t="n"/>
      <c r="D8" s="12" t="n"/>
      <c r="G8" s="13" t="n"/>
      <c r="I8" s="15" t="n"/>
    </row>
    <row r="9" ht="18" customHeight="1"/>
    <row r="10" ht="18" customHeight="1">
      <c r="B10" s="22" t="inlineStr">
        <is>
          <t>Profit by Category</t>
        </is>
      </c>
      <c r="G10" s="33" t="inlineStr">
        <is>
          <t>Profit by Year (YOY)</t>
        </is>
      </c>
    </row>
    <row r="11" ht="18" customHeight="1">
      <c r="B11" s="24" t="inlineStr">
        <is>
          <t>Category</t>
        </is>
      </c>
      <c r="C11" s="24" t="inlineStr">
        <is>
          <t>Sales ($)</t>
        </is>
      </c>
      <c r="D11" s="24" t="inlineStr">
        <is>
          <t>Profit ($)</t>
        </is>
      </c>
      <c r="E11" s="24" t="inlineStr">
        <is>
          <t>Margin %</t>
        </is>
      </c>
      <c r="G11" s="24" t="inlineStr">
        <is>
          <t>Year</t>
        </is>
      </c>
      <c r="H11" s="24" t="inlineStr">
        <is>
          <t>Sales ($)</t>
        </is>
      </c>
      <c r="I11" s="24" t="inlineStr">
        <is>
          <t>Profit ($)</t>
        </is>
      </c>
      <c r="J11" s="24" t="inlineStr">
        <is>
          <t>Margin %</t>
        </is>
      </c>
    </row>
    <row r="12" ht="18" customHeight="1">
      <c r="B12" s="37" t="inlineStr">
        <is>
          <t>Furniture</t>
        </is>
      </c>
      <c r="C12" s="46" t="n">
        <v>741999.8</v>
      </c>
      <c r="D12" s="46" t="n">
        <v>18451.27</v>
      </c>
      <c r="E12" s="27" t="n">
        <v>0.02486694740348987</v>
      </c>
      <c r="G12" s="25" t="n">
        <v>2011</v>
      </c>
      <c r="H12" s="46" t="n">
        <v>484247.5</v>
      </c>
      <c r="I12" s="46" t="n">
        <v>49543.97</v>
      </c>
      <c r="J12" s="27" t="n">
        <v>0.1023112561241927</v>
      </c>
    </row>
    <row r="13" ht="18" customHeight="1">
      <c r="B13" s="38" t="inlineStr">
        <is>
          <t>Office Supplies</t>
        </is>
      </c>
      <c r="C13" s="47" t="n">
        <v>719047.03</v>
      </c>
      <c r="D13" s="47" t="n">
        <v>122490.8</v>
      </c>
      <c r="E13" s="30" t="n">
        <v>0.1703515832615288</v>
      </c>
      <c r="G13" s="28" t="n">
        <v>2012</v>
      </c>
      <c r="H13" s="47" t="n">
        <v>470532.51</v>
      </c>
      <c r="I13" s="47" t="n">
        <v>61618.6</v>
      </c>
      <c r="J13" s="30" t="n">
        <v>0.1309550322038322</v>
      </c>
    </row>
    <row r="14" ht="18" customHeight="1">
      <c r="B14" s="37" t="inlineStr">
        <is>
          <t>Technology</t>
        </is>
      </c>
      <c r="C14" s="46" t="n">
        <v>836154.03</v>
      </c>
      <c r="D14" s="46" t="n">
        <v>145454.95</v>
      </c>
      <c r="E14" s="27" t="n">
        <v>0.173957123665361</v>
      </c>
      <c r="G14" s="25" t="n">
        <v>2013</v>
      </c>
      <c r="H14" s="46" t="n">
        <v>608473.83</v>
      </c>
      <c r="I14" s="46" t="n">
        <v>81726.92999999999</v>
      </c>
      <c r="J14" s="27" t="n">
        <v>0.1343146179351707</v>
      </c>
    </row>
    <row r="15" ht="18" customHeight="1">
      <c r="B15" s="24" t="inlineStr">
        <is>
          <t>TOTAL</t>
        </is>
      </c>
      <c r="C15" s="48" t="n">
        <v>2297200.86</v>
      </c>
      <c r="D15" s="48" t="n">
        <v>286397.02</v>
      </c>
      <c r="E15" s="31" t="n">
        <v>0.1247</v>
      </c>
      <c r="G15" s="28" t="n">
        <v>2014</v>
      </c>
      <c r="H15" s="47" t="n">
        <v>733947.02</v>
      </c>
      <c r="I15" s="47" t="n">
        <v>93507.50999999999</v>
      </c>
      <c r="J15" s="30" t="n">
        <v>0.12740362376565</v>
      </c>
    </row>
    <row r="16" ht="18" customHeight="1">
      <c r="G16" s="24" t="inlineStr">
        <is>
          <t>TOTAL</t>
        </is>
      </c>
      <c r="H16" s="48" t="n">
        <v>2297200.86</v>
      </c>
      <c r="I16" s="48" t="n">
        <v>286397.02</v>
      </c>
      <c r="J16" s="31" t="n">
        <v>0.1247</v>
      </c>
    </row>
    <row r="17" ht="18" customHeight="1"/>
    <row r="18" ht="18" customHeight="1">
      <c r="B18" s="32" t="inlineStr">
        <is>
          <t>Profit by Region</t>
        </is>
      </c>
      <c r="G18" s="49" t="inlineStr">
        <is>
          <t>Profit by Customer Segment</t>
        </is>
      </c>
    </row>
    <row r="19" ht="18" customHeight="1">
      <c r="B19" s="24" t="inlineStr">
        <is>
          <t>Region</t>
        </is>
      </c>
      <c r="C19" s="24" t="inlineStr">
        <is>
          <t>Sales ($)</t>
        </is>
      </c>
      <c r="D19" s="24" t="inlineStr">
        <is>
          <t>Profit ($)</t>
        </is>
      </c>
      <c r="E19" s="24" t="inlineStr">
        <is>
          <t>Margin %</t>
        </is>
      </c>
      <c r="G19" s="24" t="inlineStr">
        <is>
          <t>Segment</t>
        </is>
      </c>
      <c r="H19" s="24" t="inlineStr">
        <is>
          <t>Sales ($)</t>
        </is>
      </c>
      <c r="I19" s="24" t="inlineStr">
        <is>
          <t>Profit ($)</t>
        </is>
      </c>
      <c r="J19" s="24" t="inlineStr">
        <is>
          <t>Margin %</t>
        </is>
      </c>
    </row>
    <row r="20" ht="18" customHeight="1">
      <c r="B20" s="25" t="inlineStr">
        <is>
          <t>Central</t>
        </is>
      </c>
      <c r="C20" s="46" t="n">
        <v>501239.89</v>
      </c>
      <c r="D20" s="46" t="n">
        <v>39706.36</v>
      </c>
      <c r="E20" s="27" t="n">
        <v>0.0792162810505764</v>
      </c>
      <c r="G20" s="25" t="inlineStr">
        <is>
          <t>Consumer</t>
        </is>
      </c>
      <c r="H20" s="46" t="n">
        <v>1161401.34</v>
      </c>
      <c r="I20" s="46" t="n">
        <v>134119.21</v>
      </c>
      <c r="J20" s="27" t="n">
        <v>0.1154805022009015</v>
      </c>
    </row>
    <row r="21" ht="18" customHeight="1">
      <c r="B21" s="28" t="inlineStr">
        <is>
          <t>East</t>
        </is>
      </c>
      <c r="C21" s="47" t="n">
        <v>678781.24</v>
      </c>
      <c r="D21" s="47" t="n">
        <v>91522.78</v>
      </c>
      <c r="E21" s="30" t="n">
        <v>0.1348339856888207</v>
      </c>
      <c r="G21" s="28" t="inlineStr">
        <is>
          <t>Corporate</t>
        </is>
      </c>
      <c r="H21" s="47" t="n">
        <v>706146.37</v>
      </c>
      <c r="I21" s="47" t="n">
        <v>91979.13</v>
      </c>
      <c r="J21" s="30" t="n">
        <v>0.1302550489638572</v>
      </c>
    </row>
    <row r="22" ht="18" customHeight="1">
      <c r="B22" s="25" t="inlineStr">
        <is>
          <t>South</t>
        </is>
      </c>
      <c r="C22" s="46" t="n">
        <v>391721.9</v>
      </c>
      <c r="D22" s="46" t="n">
        <v>46749.43</v>
      </c>
      <c r="E22" s="27" t="n">
        <v>0.1193434168475135</v>
      </c>
      <c r="G22" s="25" t="inlineStr">
        <is>
          <t>Home Office</t>
        </is>
      </c>
      <c r="H22" s="46" t="n">
        <v>429653.15</v>
      </c>
      <c r="I22" s="46" t="n">
        <v>60298.68</v>
      </c>
      <c r="J22" s="27" t="n">
        <v>0.1403426927045688</v>
      </c>
    </row>
    <row r="23" ht="18" customHeight="1">
      <c r="B23" s="28" t="inlineStr">
        <is>
          <t>West</t>
        </is>
      </c>
      <c r="C23" s="47" t="n">
        <v>725457.8199999999</v>
      </c>
      <c r="D23" s="47" t="n">
        <v>108418.45</v>
      </c>
      <c r="E23" s="30" t="n">
        <v>0.1494483166505807</v>
      </c>
      <c r="G23" s="24" t="inlineStr">
        <is>
          <t>TOTAL</t>
        </is>
      </c>
      <c r="H23" s="48" t="n">
        <v>2297200.86</v>
      </c>
      <c r="I23" s="48" t="n">
        <v>286397.02</v>
      </c>
      <c r="J23" s="31" t="n">
        <v>0.1247</v>
      </c>
    </row>
    <row r="24" ht="18" customHeight="1">
      <c r="B24" s="24" t="inlineStr">
        <is>
          <t>TOTAL</t>
        </is>
      </c>
      <c r="C24" s="48" t="n">
        <v>2297200.86</v>
      </c>
      <c r="D24" s="48" t="n">
        <v>286397.02</v>
      </c>
      <c r="E24" s="31" t="n">
        <v>0.1247</v>
      </c>
    </row>
    <row r="25" ht="18" customHeight="1"/>
    <row r="26" ht="18" customHeight="1">
      <c r="B26" s="50" t="inlineStr">
        <is>
          <t>Monthly Sales &amp; Profit Breakdown</t>
        </is>
      </c>
    </row>
    <row r="27" ht="18" customHeight="1">
      <c r="B27" s="24" t="inlineStr">
        <is>
          <t>Month</t>
        </is>
      </c>
      <c r="C27" s="24" t="inlineStr">
        <is>
          <t>Sales ($)</t>
        </is>
      </c>
      <c r="D27" s="24" t="inlineStr">
        <is>
          <t>Profit ($)</t>
        </is>
      </c>
      <c r="E27" s="24" t="inlineStr">
        <is>
          <t>Margin %</t>
        </is>
      </c>
      <c r="F27" s="24" t="inlineStr">
        <is>
          <t>% of Total Profit</t>
        </is>
      </c>
    </row>
    <row r="28" ht="18" customHeight="1">
      <c r="B28" s="25" t="inlineStr">
        <is>
          <t>Jan</t>
        </is>
      </c>
      <c r="C28" s="46" t="n">
        <v>95365.94</v>
      </c>
      <c r="D28" s="46" t="n">
        <v>9199.27</v>
      </c>
      <c r="E28" s="27" t="n">
        <v>0.09646284616918786</v>
      </c>
      <c r="F28" s="27" t="n">
        <v>0.03212069036193184</v>
      </c>
    </row>
    <row r="29" ht="18" customHeight="1">
      <c r="B29" s="28" t="inlineStr">
        <is>
          <t>Feb</t>
        </is>
      </c>
      <c r="C29" s="47" t="n">
        <v>60172.65</v>
      </c>
      <c r="D29" s="47" t="n">
        <v>10288.9</v>
      </c>
      <c r="E29" s="30" t="n">
        <v>0.170989643966154</v>
      </c>
      <c r="F29" s="30" t="n">
        <v>0.03592530397138909</v>
      </c>
    </row>
    <row r="30" ht="18" customHeight="1">
      <c r="B30" s="25" t="inlineStr">
        <is>
          <t>Mar</t>
        </is>
      </c>
      <c r="C30" s="46" t="n">
        <v>199252.98</v>
      </c>
      <c r="D30" s="46" t="n">
        <v>26806.57</v>
      </c>
      <c r="E30" s="27" t="n">
        <v>0.134535352996979</v>
      </c>
      <c r="F30" s="27" t="n">
        <v>0.0935993328422202</v>
      </c>
    </row>
    <row r="31" ht="18" customHeight="1">
      <c r="B31" s="28" t="inlineStr">
        <is>
          <t>Apr</t>
        </is>
      </c>
      <c r="C31" s="47" t="n">
        <v>141851.57</v>
      </c>
      <c r="D31" s="47" t="n">
        <v>13437.81</v>
      </c>
      <c r="E31" s="30" t="n">
        <v>0.09473148587639882</v>
      </c>
      <c r="F31" s="30" t="n">
        <v>0.04692021585978792</v>
      </c>
    </row>
    <row r="32" ht="18" customHeight="1">
      <c r="B32" s="25" t="inlineStr">
        <is>
          <t>May</t>
        </is>
      </c>
      <c r="C32" s="46" t="n">
        <v>156122.29</v>
      </c>
      <c r="D32" s="46" t="n">
        <v>22308.51</v>
      </c>
      <c r="E32" s="27" t="n">
        <v>0.1428912553101802</v>
      </c>
      <c r="F32" s="27" t="n">
        <v>0.07789365266440271</v>
      </c>
    </row>
    <row r="33" ht="18" customHeight="1">
      <c r="B33" s="28" t="inlineStr">
        <is>
          <t>Jun</t>
        </is>
      </c>
      <c r="C33" s="47" t="n">
        <v>147082.61</v>
      </c>
      <c r="D33" s="47" t="n">
        <v>20899.33</v>
      </c>
      <c r="E33" s="30" t="n">
        <v>0.1420924608286459</v>
      </c>
      <c r="F33" s="30" t="n">
        <v>0.07297328023873992</v>
      </c>
    </row>
    <row r="34" ht="18" customHeight="1">
      <c r="B34" s="25" t="inlineStr">
        <is>
          <t>Jul</t>
        </is>
      </c>
      <c r="C34" s="46" t="n">
        <v>149580.84</v>
      </c>
      <c r="D34" s="46" t="n">
        <v>13535.38</v>
      </c>
      <c r="E34" s="27" t="n">
        <v>0.09048872836922162</v>
      </c>
      <c r="F34" s="27" t="n">
        <v>0.04726089677888408</v>
      </c>
    </row>
    <row r="35" ht="18" customHeight="1">
      <c r="B35" s="28" t="inlineStr">
        <is>
          <t>Aug</t>
        </is>
      </c>
      <c r="C35" s="47" t="n">
        <v>159589.45</v>
      </c>
      <c r="D35" s="47" t="n">
        <v>21896.72</v>
      </c>
      <c r="E35" s="30" t="n">
        <v>0.1372065634664447</v>
      </c>
      <c r="F35" s="30" t="n">
        <v>0.07645582345793961</v>
      </c>
    </row>
    <row r="36" ht="18" customHeight="1">
      <c r="B36" s="25" t="inlineStr">
        <is>
          <t>Sep</t>
        </is>
      </c>
      <c r="C36" s="46" t="n">
        <v>309770.1</v>
      </c>
      <c r="D36" s="46" t="n">
        <v>37293.19</v>
      </c>
      <c r="E36" s="27" t="n">
        <v>0.1203898956032232</v>
      </c>
      <c r="F36" s="27" t="n">
        <v>0.1302150071254233</v>
      </c>
    </row>
    <row r="37" ht="18" customHeight="1">
      <c r="B37" s="28" t="inlineStr">
        <is>
          <t>Oct</t>
        </is>
      </c>
      <c r="C37" s="47" t="n">
        <v>197115.2</v>
      </c>
      <c r="D37" s="47" t="n">
        <v>31469.66</v>
      </c>
      <c r="E37" s="30" t="n">
        <v>0.1596511075756715</v>
      </c>
      <c r="F37" s="30" t="n">
        <v>0.1098812410827459</v>
      </c>
    </row>
    <row r="38" ht="18" customHeight="1">
      <c r="B38" s="25" t="inlineStr">
        <is>
          <t>Nov</t>
        </is>
      </c>
      <c r="C38" s="46" t="n">
        <v>349120.07</v>
      </c>
      <c r="D38" s="46" t="n">
        <v>35825.54</v>
      </c>
      <c r="E38" s="27" t="n">
        <v>0.1026166728254838</v>
      </c>
      <c r="F38" s="27" t="n">
        <v>0.1250904775475667</v>
      </c>
    </row>
    <row r="39" ht="18" customHeight="1">
      <c r="B39" s="28" t="inlineStr">
        <is>
          <t>Dec</t>
        </is>
      </c>
      <c r="C39" s="47" t="n">
        <v>332177.16</v>
      </c>
      <c r="D39" s="47" t="n">
        <v>43436.13</v>
      </c>
      <c r="E39" s="30" t="n">
        <v>0.1307619404055354</v>
      </c>
      <c r="F39" s="30" t="n">
        <v>0.1516640431524043</v>
      </c>
    </row>
    <row r="40" ht="18" customHeight="1">
      <c r="B40" s="24" t="inlineStr">
        <is>
          <t>TOTAL</t>
        </is>
      </c>
      <c r="C40" s="48" t="n">
        <v>2297200.86</v>
      </c>
      <c r="D40" s="48" t="n">
        <v>286397.02</v>
      </c>
      <c r="E40" s="31" t="n">
        <v>0.1247</v>
      </c>
      <c r="F40" s="31" t="n">
        <v>1</v>
      </c>
    </row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>
      <c r="A70" s="34" t="inlineStr">
        <is>
          <t>Profit Analysis  |  Source: Project_1Ecommerce_Sales_Analysis.xlsx</t>
        </is>
      </c>
    </row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</sheetData>
  <mergeCells count="23">
    <mergeCell ref="I6:J6"/>
    <mergeCell ref="B7:C7"/>
    <mergeCell ref="G8:H8"/>
    <mergeCell ref="A70:K70"/>
    <mergeCell ref="A1:K3"/>
    <mergeCell ref="D6:E6"/>
    <mergeCell ref="G7:H7"/>
    <mergeCell ref="B26:K26"/>
    <mergeCell ref="I7:J7"/>
    <mergeCell ref="G6:H6"/>
    <mergeCell ref="B8:C8"/>
    <mergeCell ref="B18:E18"/>
    <mergeCell ref="D7:E7"/>
    <mergeCell ref="G5:H5"/>
    <mergeCell ref="I5:J5"/>
    <mergeCell ref="I8:J8"/>
    <mergeCell ref="G10:J10"/>
    <mergeCell ref="D8:E8"/>
    <mergeCell ref="B6:C6"/>
    <mergeCell ref="G18:J18"/>
    <mergeCell ref="B5:C5"/>
    <mergeCell ref="D5:E5"/>
    <mergeCell ref="B10:E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2026-06-13T11:31:42Z</dcterms:created>
  <dcterms:modified xmlns:dcterms="http://purl.org/dc/terms/" xmlns:xsi="http://www.w3.org/2001/XMLSchema-instance" xsi:type="dcterms:W3CDTF">2026-06-13T11:38:16Z</dcterms:modified>
</cp:coreProperties>
</file>